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yannls/Documents/YUGIOH-DB/"/>
    </mc:Choice>
  </mc:AlternateContent>
  <xr:revisionPtr revIDLastSave="0" documentId="13_ncr:1_{FFC96C35-D87F-A14C-A244-15EADC7B61D8}" xr6:coauthVersionLast="47" xr6:coauthVersionMax="47" xr10:uidLastSave="{00000000-0000-0000-0000-000000000000}"/>
  <bookViews>
    <workbookView xWindow="0" yWindow="760" windowWidth="34200" windowHeight="21380" xr2:uid="{ECAB6730-397E-41EF-90DB-6710F1D3E2DD}"/>
  </bookViews>
  <sheets>
    <sheet name="Collection" sheetId="1" r:id="rId1"/>
    <sheet name="Stats" sheetId="3" r:id="rId2"/>
    <sheet name="Datas" sheetId="2" r:id="rId3"/>
  </sheets>
  <definedNames>
    <definedName name="_xlnm._FilterDatabase" localSheetId="0" hidden="1">Collection!$B$3:$I$17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9" i="3"/>
  <c r="E11" i="3" l="1"/>
</calcChain>
</file>

<file path=xl/sharedStrings.xml><?xml version="1.0" encoding="utf-8"?>
<sst xmlns="http://schemas.openxmlformats.org/spreadsheetml/2006/main" count="296" uniqueCount="139">
  <si>
    <t>TN19-FR001</t>
  </si>
  <si>
    <t>TN19-FR002</t>
  </si>
  <si>
    <t>TN19-FR003</t>
  </si>
  <si>
    <t>TN19-FR004</t>
  </si>
  <si>
    <t>TN19-FR005</t>
  </si>
  <si>
    <t>TN19-FR006</t>
  </si>
  <si>
    <t>TN19-FR007</t>
  </si>
  <si>
    <t>TN19-FR008</t>
  </si>
  <si>
    <t>TN19-FR009</t>
  </si>
  <si>
    <t>TN19-FR010</t>
  </si>
  <si>
    <t>TN19-FR011</t>
  </si>
  <si>
    <t>TN19-FR012</t>
  </si>
  <si>
    <t>TN19-FR013</t>
  </si>
  <si>
    <t>TN19-FR014</t>
  </si>
  <si>
    <t>Nom de la carte</t>
  </si>
  <si>
    <t>Rareté</t>
  </si>
  <si>
    <t>Possédée</t>
  </si>
  <si>
    <t>Nombre</t>
  </si>
  <si>
    <t>Référence</t>
  </si>
  <si>
    <t>Date de sortie extension</t>
  </si>
  <si>
    <t>OUI</t>
  </si>
  <si>
    <t>Dragon Ultime Alternatif Aux Yeux Bleus</t>
  </si>
  <si>
    <t xml:space="preserve"> Type de carte</t>
  </si>
  <si>
    <t>Types</t>
  </si>
  <si>
    <t>Monstre Normal</t>
  </si>
  <si>
    <t>Monstre Effet</t>
  </si>
  <si>
    <t>Monstre Fusion</t>
  </si>
  <si>
    <t>Monstre Synchro</t>
  </si>
  <si>
    <t>Monstre XYZ</t>
  </si>
  <si>
    <t>Monstre Pendule</t>
  </si>
  <si>
    <t>Monstre Lien</t>
  </si>
  <si>
    <t>Magie Normal</t>
  </si>
  <si>
    <t>Magie Continue</t>
  </si>
  <si>
    <t>Magie d'équipement</t>
  </si>
  <si>
    <t>Magie Rapide</t>
  </si>
  <si>
    <t>Monstre Rituel</t>
  </si>
  <si>
    <t>Magie Rituelle</t>
  </si>
  <si>
    <t>Magie de Terrain</t>
  </si>
  <si>
    <t>Piège Normal</t>
  </si>
  <si>
    <t>Piège Continu</t>
  </si>
  <si>
    <t>Piège Contre</t>
  </si>
  <si>
    <t>Monstre P.Fusion</t>
  </si>
  <si>
    <t>Monstre P.Synchro</t>
  </si>
  <si>
    <t>Monstre P.XYZ</t>
  </si>
  <si>
    <t>Monstre P.Lien</t>
  </si>
  <si>
    <t>Commune</t>
  </si>
  <si>
    <t>Rare</t>
  </si>
  <si>
    <t>Super Rare</t>
  </si>
  <si>
    <t>Ultra Rare</t>
  </si>
  <si>
    <t>Secret Rare</t>
  </si>
  <si>
    <t>Starlight Rare</t>
  </si>
  <si>
    <t>Ultimate Rare</t>
  </si>
  <si>
    <t>Ghost Rare</t>
  </si>
  <si>
    <t>Gold Rare</t>
  </si>
  <si>
    <t>Platinum Rare</t>
  </si>
  <si>
    <t>Prismatic Rare</t>
  </si>
  <si>
    <t>Collector's Rare</t>
  </si>
  <si>
    <t>Paralell Rare</t>
  </si>
  <si>
    <t>Starfoil</t>
  </si>
  <si>
    <t xml:space="preserve">Mosaic </t>
  </si>
  <si>
    <t>Shatterfoil Rare</t>
  </si>
  <si>
    <t>Magicien du Chaos Sombre MAX</t>
  </si>
  <si>
    <t>NON</t>
  </si>
  <si>
    <t>Éxodia, le Défenseur Légendaire</t>
  </si>
  <si>
    <t>Mana Oracle Palladium</t>
  </si>
  <si>
    <t>Dragon Alternatif Noir aux Yeux Rouges</t>
  </si>
  <si>
    <t>Néo Planeur du Kaiser</t>
  </si>
  <si>
    <t>Obelisk, le Tourmenteur</t>
  </si>
  <si>
    <t>Slifer, le Dragon Céleste</t>
  </si>
  <si>
    <t>Le Dragon Ailé de Râ</t>
  </si>
  <si>
    <t>Raigeki</t>
  </si>
  <si>
    <t>Monster Reborn</t>
  </si>
  <si>
    <t>Migrateur Dimensionnel</t>
  </si>
  <si>
    <t>Nibiru, l'Être Primitif</t>
  </si>
  <si>
    <t>Plus du Tout Gouverneur des Ténèbres</t>
  </si>
  <si>
    <t>Statistique</t>
  </si>
  <si>
    <t>Nombre total d'éléments</t>
  </si>
  <si>
    <t>Nombre d'éléments possédés</t>
  </si>
  <si>
    <t>Pourcentage de complétion</t>
  </si>
  <si>
    <t>Formule</t>
  </si>
  <si>
    <t>Différence</t>
  </si>
  <si>
    <t>Portfolio Hero</t>
  </si>
  <si>
    <t>Portfolio Dogmatika</t>
  </si>
  <si>
    <t>Portfolio Kuriboh</t>
  </si>
  <si>
    <t>Portfolio Rouge</t>
  </si>
  <si>
    <t>Portfolio noir</t>
  </si>
  <si>
    <t>Portfolio Forêt</t>
  </si>
  <si>
    <t>Classeur</t>
  </si>
  <si>
    <t>Rangement</t>
  </si>
  <si>
    <t>SDBE-FR001</t>
  </si>
  <si>
    <t>SDBE-FR002</t>
  </si>
  <si>
    <t>SDBE-FR003</t>
  </si>
  <si>
    <t>SDBE-FR004</t>
  </si>
  <si>
    <t>SDBE-FR005</t>
  </si>
  <si>
    <t>SDBE-FR006</t>
  </si>
  <si>
    <t>SDBE-FR007</t>
  </si>
  <si>
    <t>SDBE-FR008</t>
  </si>
  <si>
    <t>SDBE-FR009</t>
  </si>
  <si>
    <t>SDBE-FR010</t>
  </si>
  <si>
    <t>SDBE-FR011</t>
  </si>
  <si>
    <t>SDBE-FR012</t>
  </si>
  <si>
    <t>SDBE-FR013</t>
  </si>
  <si>
    <t>SDBE-FR014</t>
  </si>
  <si>
    <t>SDBE-FR015</t>
  </si>
  <si>
    <t>SDBE-FR016</t>
  </si>
  <si>
    <t>SDBE-FR017</t>
  </si>
  <si>
    <t>SDBE-FR018</t>
  </si>
  <si>
    <t>SDBE-FR019</t>
  </si>
  <si>
    <t>SDBE-FR020</t>
  </si>
  <si>
    <t>SDBE-FR021</t>
  </si>
  <si>
    <t>SDBE-FR022</t>
  </si>
  <si>
    <t>SDBE-FR023</t>
  </si>
  <si>
    <t>SDBE-FR024</t>
  </si>
  <si>
    <t>SDBE-FR025</t>
  </si>
  <si>
    <t>SDBE-FR026</t>
  </si>
  <si>
    <t>SDBE-FR027</t>
  </si>
  <si>
    <t>SDBE-FR028</t>
  </si>
  <si>
    <t>SDBE-FR029</t>
  </si>
  <si>
    <t>SDBE-FR030</t>
  </si>
  <si>
    <t>SDBE-FR031</t>
  </si>
  <si>
    <t>SDBE-FR032</t>
  </si>
  <si>
    <t>SDBE-FR033</t>
  </si>
  <si>
    <t>SDBE-FR034</t>
  </si>
  <si>
    <t>SDBE-FR035</t>
  </si>
  <si>
    <t>SDBE-FR036</t>
  </si>
  <si>
    <t>SDBE-FR037</t>
  </si>
  <si>
    <t>SDBE-FR038</t>
  </si>
  <si>
    <t>SDBE-FR039</t>
  </si>
  <si>
    <t>SDBE-FR040</t>
  </si>
  <si>
    <t>Dragon Blanc Aux Yeux Bleus</t>
  </si>
  <si>
    <t>Dragolapin</t>
  </si>
  <si>
    <t>Dragon Alexandrite</t>
  </si>
  <si>
    <t>Dragon Étincelant</t>
  </si>
  <si>
    <t>Sentinelle de la Cloche de Feu</t>
  </si>
  <si>
    <t>Demoiselle Aux Yeux Couleur Bleu</t>
  </si>
  <si>
    <t>Chevaucheur des Vents de Tempête</t>
  </si>
  <si>
    <t>Dragon Orage Ténébreux</t>
  </si>
  <si>
    <t>Planeur du Kaiser</t>
  </si>
  <si>
    <t>Dragon Hiératique de Tefnuit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</si>
</sst>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0" borderId="1" xfId="0" applyBorder="1"/>
    <xf numFmtId="14" fontId="0" fillId="0" borderId="1" xfId="0" applyNumberFormat="1" applyBorder="1"/>
    <xf numFmtId="0" fontId="0" fillId="0" borderId="2" xfId="0" applyBorder="1"/>
    <xf numFmtId="14" fontId="0" fillId="0" borderId="0" xfId="0" applyNumberFormat="1" applyBorder="1"/>
    <xf numFmtId="0" fontId="0" fillId="0" borderId="1" xfId="0" applyFill="1" applyBorder="1"/>
  </cellXfs>
  <cellStyles count="1">
    <cellStyle name="Normal" xfId="0" builtinId="0"/>
  </cellStyles>
  <dxfs count="8"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6"/>
        </patternFill>
      </fill>
    </dxf>
    <dxf>
      <font>
        <color theme="0"/>
      </font>
      <fill>
        <patternFill>
          <bgColor theme="6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6"/>
        </patternFill>
      </fill>
    </dxf>
    <dxf>
      <font>
        <color theme="0"/>
      </font>
      <fill>
        <patternFill>
          <bgColor theme="6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95C-4668-96D9-473D4A7F171F}"/>
              </c:ext>
            </c:extLst>
          </c:dPt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95C-4668-96D9-473D4A7F171F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595C-4668-96D9-473D4A7F171F}"/>
              </c:ext>
            </c:extLst>
          </c:dPt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5C-4668-96D9-473D4A7F171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B865B32-9D2C-1F40-BBDB-7D6D95AE9C79}" type="VALUE">
                      <a:rPr lang="en-US"/>
                      <a:pPr/>
                      <a:t>[VALEUR]</a:t>
                    </a:fld>
                    <a:endParaRPr lang="fr-F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95C-4668-96D9-473D4A7F171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5335181-17FD-F640-8CFB-92A9FB6FCCE3}" type="VALUE">
                      <a:rPr lang="en-US"/>
                      <a:pPr/>
                      <a:t>[VALEUR]</a:t>
                    </a:fld>
                    <a:endParaRPr lang="fr-F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95C-4668-96D9-473D4A7F17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Stats!$E$9:$E$11</c:f>
              <c:numCache>
                <c:formatCode>General</c:formatCode>
                <c:ptCount val="3"/>
                <c:pt idx="0">
                  <c:v>14</c:v>
                </c:pt>
                <c:pt idx="1">
                  <c:v>10</c:v>
                </c:pt>
                <c:pt idx="2">
                  <c:v>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Stats!$D$10</c15:f>
                <c15:dlblRangeCache>
                  <c:ptCount val="1"/>
                  <c:pt idx="0">
                    <c:v>Nombre d'éléments possédés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95C-4668-96D9-473D4A7F1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8502319"/>
        <c:axId val="1408504239"/>
      </c:barChart>
      <c:catAx>
        <c:axId val="1408502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08504239"/>
        <c:crosses val="autoZero"/>
        <c:auto val="1"/>
        <c:lblAlgn val="ctr"/>
        <c:lblOffset val="100"/>
        <c:noMultiLvlLbl val="0"/>
      </c:catAx>
      <c:valAx>
        <c:axId val="1408504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085023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373855</xdr:colOff>
      <xdr:row>11</xdr:row>
      <xdr:rowOff>104775</xdr:rowOff>
    </xdr:from>
    <xdr:to>
      <xdr:col>19</xdr:col>
      <xdr:colOff>373855</xdr:colOff>
      <xdr:row>26</xdr:row>
      <xdr:rowOff>133350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D706048-FA2D-1BE8-285B-9CC0BF1FB3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6E53F-045B-4B81-A788-FBDC7C927C43}">
  <sheetPr codeName="Feuil1"/>
  <dimension ref="A1:I174"/>
  <sheetViews>
    <sheetView tabSelected="1" topLeftCell="C15" zoomScale="169" workbookViewId="0">
      <selection activeCell="D30" sqref="D30"/>
    </sheetView>
  </sheetViews>
  <sheetFormatPr baseColWidth="10" defaultColWidth="9" defaultRowHeight="15" x14ac:dyDescent="0.2"/>
  <cols>
    <col min="1" max="1" width="10" bestFit="1" customWidth="1"/>
    <col min="2" max="2" width="21.6640625" bestFit="1" customWidth="1"/>
    <col min="3" max="3" width="10.83203125" bestFit="1" customWidth="1"/>
    <col min="4" max="4" width="31.33203125" bestFit="1" customWidth="1"/>
    <col min="5" max="5" width="13.5" bestFit="1" customWidth="1"/>
    <col min="6" max="6" width="12" bestFit="1" customWidth="1"/>
    <col min="7" max="7" width="10.5" bestFit="1" customWidth="1"/>
    <col min="9" max="9" width="15.6640625" bestFit="1" customWidth="1"/>
  </cols>
  <sheetData>
    <row r="1" spans="1:9" x14ac:dyDescent="0.2">
      <c r="A1" s="1"/>
    </row>
    <row r="3" spans="1:9" x14ac:dyDescent="0.2">
      <c r="B3" s="2" t="s">
        <v>19</v>
      </c>
      <c r="C3" s="2" t="s">
        <v>18</v>
      </c>
      <c r="D3" s="2" t="s">
        <v>14</v>
      </c>
      <c r="E3" s="2" t="s">
        <v>22</v>
      </c>
      <c r="F3" s="2" t="s">
        <v>15</v>
      </c>
      <c r="G3" s="2" t="s">
        <v>16</v>
      </c>
      <c r="H3" s="2" t="s">
        <v>17</v>
      </c>
      <c r="I3" s="2" t="s">
        <v>88</v>
      </c>
    </row>
    <row r="4" spans="1:9" x14ac:dyDescent="0.2">
      <c r="B4" s="3">
        <v>43706</v>
      </c>
      <c r="C4" s="2" t="s">
        <v>0</v>
      </c>
      <c r="D4" s="2" t="s">
        <v>21</v>
      </c>
      <c r="E4" s="2" t="s">
        <v>26</v>
      </c>
      <c r="F4" s="2" t="s">
        <v>55</v>
      </c>
      <c r="G4" s="2" t="s">
        <v>20</v>
      </c>
      <c r="H4" s="2">
        <v>1</v>
      </c>
      <c r="I4" s="2" t="s">
        <v>81</v>
      </c>
    </row>
    <row r="5" spans="1:9" x14ac:dyDescent="0.2">
      <c r="B5" s="3">
        <v>43706</v>
      </c>
      <c r="C5" s="2" t="s">
        <v>1</v>
      </c>
      <c r="D5" s="2" t="s">
        <v>61</v>
      </c>
      <c r="E5" s="2" t="s">
        <v>35</v>
      </c>
      <c r="F5" s="2" t="s">
        <v>55</v>
      </c>
      <c r="G5" s="2" t="s">
        <v>62</v>
      </c>
      <c r="H5" s="2">
        <v>0</v>
      </c>
      <c r="I5" s="2" t="s">
        <v>81</v>
      </c>
    </row>
    <row r="6" spans="1:9" x14ac:dyDescent="0.2">
      <c r="B6" s="3">
        <v>43706</v>
      </c>
      <c r="C6" s="2" t="s">
        <v>2</v>
      </c>
      <c r="D6" s="2" t="s">
        <v>63</v>
      </c>
      <c r="E6" s="2" t="s">
        <v>25</v>
      </c>
      <c r="F6" s="2" t="s">
        <v>55</v>
      </c>
      <c r="G6" s="2" t="s">
        <v>20</v>
      </c>
      <c r="H6" s="2">
        <v>1</v>
      </c>
      <c r="I6" s="2" t="s">
        <v>81</v>
      </c>
    </row>
    <row r="7" spans="1:9" x14ac:dyDescent="0.2">
      <c r="B7" s="3">
        <v>43706</v>
      </c>
      <c r="C7" s="2" t="s">
        <v>3</v>
      </c>
      <c r="D7" s="2" t="s">
        <v>64</v>
      </c>
      <c r="E7" s="2" t="s">
        <v>25</v>
      </c>
      <c r="F7" s="2" t="s">
        <v>55</v>
      </c>
      <c r="G7" s="2" t="s">
        <v>20</v>
      </c>
      <c r="H7" s="2">
        <v>1</v>
      </c>
      <c r="I7" s="2" t="s">
        <v>81</v>
      </c>
    </row>
    <row r="8" spans="1:9" x14ac:dyDescent="0.2">
      <c r="B8" s="3">
        <v>43706</v>
      </c>
      <c r="C8" s="2" t="s">
        <v>4</v>
      </c>
      <c r="D8" s="2" t="s">
        <v>65</v>
      </c>
      <c r="E8" s="2" t="s">
        <v>25</v>
      </c>
      <c r="F8" s="2" t="s">
        <v>55</v>
      </c>
      <c r="G8" s="2" t="s">
        <v>62</v>
      </c>
      <c r="H8" s="2">
        <v>0</v>
      </c>
      <c r="I8" s="2" t="s">
        <v>81</v>
      </c>
    </row>
    <row r="9" spans="1:9" x14ac:dyDescent="0.2">
      <c r="B9" s="3">
        <v>43706</v>
      </c>
      <c r="C9" s="2" t="s">
        <v>5</v>
      </c>
      <c r="D9" s="2" t="s">
        <v>66</v>
      </c>
      <c r="E9" s="2" t="s">
        <v>25</v>
      </c>
      <c r="F9" s="2" t="s">
        <v>55</v>
      </c>
      <c r="G9" s="2" t="s">
        <v>20</v>
      </c>
      <c r="H9" s="2">
        <v>1</v>
      </c>
      <c r="I9" s="2" t="s">
        <v>81</v>
      </c>
    </row>
    <row r="10" spans="1:9" x14ac:dyDescent="0.2">
      <c r="B10" s="3">
        <v>43706</v>
      </c>
      <c r="C10" s="2" t="s">
        <v>6</v>
      </c>
      <c r="D10" s="2" t="s">
        <v>67</v>
      </c>
      <c r="E10" s="2" t="s">
        <v>25</v>
      </c>
      <c r="F10" s="2" t="s">
        <v>55</v>
      </c>
      <c r="G10" s="2" t="s">
        <v>20</v>
      </c>
      <c r="H10" s="2">
        <v>1</v>
      </c>
      <c r="I10" s="2" t="s">
        <v>81</v>
      </c>
    </row>
    <row r="11" spans="1:9" x14ac:dyDescent="0.2">
      <c r="B11" s="3">
        <v>43706</v>
      </c>
      <c r="C11" s="2" t="s">
        <v>7</v>
      </c>
      <c r="D11" s="2" t="s">
        <v>68</v>
      </c>
      <c r="E11" s="2" t="s">
        <v>25</v>
      </c>
      <c r="F11" s="2" t="s">
        <v>55</v>
      </c>
      <c r="G11" s="2" t="s">
        <v>20</v>
      </c>
      <c r="H11" s="2">
        <v>1</v>
      </c>
      <c r="I11" s="2" t="s">
        <v>81</v>
      </c>
    </row>
    <row r="12" spans="1:9" x14ac:dyDescent="0.2">
      <c r="B12" s="3">
        <v>43706</v>
      </c>
      <c r="C12" s="2" t="s">
        <v>8</v>
      </c>
      <c r="D12" s="2" t="s">
        <v>69</v>
      </c>
      <c r="E12" s="2" t="s">
        <v>25</v>
      </c>
      <c r="F12" s="2" t="s">
        <v>55</v>
      </c>
      <c r="G12" s="2" t="s">
        <v>20</v>
      </c>
      <c r="H12" s="2">
        <v>1</v>
      </c>
      <c r="I12" s="2" t="s">
        <v>81</v>
      </c>
    </row>
    <row r="13" spans="1:9" x14ac:dyDescent="0.2">
      <c r="B13" s="3">
        <v>43706</v>
      </c>
      <c r="C13" s="2" t="s">
        <v>9</v>
      </c>
      <c r="D13" s="2" t="s">
        <v>70</v>
      </c>
      <c r="E13" s="2" t="s">
        <v>31</v>
      </c>
      <c r="F13" s="2" t="s">
        <v>55</v>
      </c>
      <c r="G13" s="2" t="s">
        <v>20</v>
      </c>
      <c r="H13" s="2">
        <v>1</v>
      </c>
      <c r="I13" s="2" t="s">
        <v>81</v>
      </c>
    </row>
    <row r="14" spans="1:9" x14ac:dyDescent="0.2">
      <c r="B14" s="3">
        <v>43706</v>
      </c>
      <c r="C14" s="2" t="s">
        <v>10</v>
      </c>
      <c r="D14" s="2" t="s">
        <v>71</v>
      </c>
      <c r="E14" s="2" t="s">
        <v>31</v>
      </c>
      <c r="F14" s="2" t="s">
        <v>55</v>
      </c>
      <c r="G14" s="2" t="s">
        <v>62</v>
      </c>
      <c r="H14" s="2">
        <v>0</v>
      </c>
      <c r="I14" s="2" t="s">
        <v>81</v>
      </c>
    </row>
    <row r="15" spans="1:9" x14ac:dyDescent="0.2">
      <c r="B15" s="3">
        <v>43706</v>
      </c>
      <c r="C15" s="2" t="s">
        <v>11</v>
      </c>
      <c r="D15" s="2" t="s">
        <v>72</v>
      </c>
      <c r="E15" s="2" t="s">
        <v>25</v>
      </c>
      <c r="F15" s="2" t="s">
        <v>55</v>
      </c>
      <c r="G15" s="2" t="s">
        <v>20</v>
      </c>
      <c r="H15" s="2">
        <v>1</v>
      </c>
      <c r="I15" s="2" t="s">
        <v>81</v>
      </c>
    </row>
    <row r="16" spans="1:9" x14ac:dyDescent="0.2">
      <c r="B16" s="3">
        <v>43706</v>
      </c>
      <c r="C16" s="2" t="s">
        <v>12</v>
      </c>
      <c r="D16" s="2" t="s">
        <v>73</v>
      </c>
      <c r="E16" s="2" t="s">
        <v>25</v>
      </c>
      <c r="F16" s="2" t="s">
        <v>55</v>
      </c>
      <c r="G16" s="2" t="s">
        <v>20</v>
      </c>
      <c r="H16" s="2">
        <v>0</v>
      </c>
      <c r="I16" s="2" t="s">
        <v>81</v>
      </c>
    </row>
    <row r="17" spans="2:9" x14ac:dyDescent="0.2">
      <c r="B17" s="3">
        <v>43706</v>
      </c>
      <c r="C17" s="2" t="s">
        <v>13</v>
      </c>
      <c r="D17" s="2" t="s">
        <v>74</v>
      </c>
      <c r="E17" s="2" t="s">
        <v>31</v>
      </c>
      <c r="F17" s="2" t="s">
        <v>55</v>
      </c>
      <c r="G17" s="2" t="s">
        <v>62</v>
      </c>
      <c r="H17" s="2">
        <v>0</v>
      </c>
      <c r="I17" s="2" t="s">
        <v>81</v>
      </c>
    </row>
    <row r="18" spans="2:9" x14ac:dyDescent="0.2">
      <c r="B18" s="3">
        <v>41529</v>
      </c>
      <c r="C18" s="6" t="s">
        <v>89</v>
      </c>
      <c r="D18" s="2" t="s">
        <v>129</v>
      </c>
      <c r="E18" s="2" t="s">
        <v>24</v>
      </c>
      <c r="F18" s="2" t="s">
        <v>48</v>
      </c>
      <c r="G18" s="2" t="s">
        <v>20</v>
      </c>
      <c r="H18" s="2">
        <v>1</v>
      </c>
      <c r="I18" s="2" t="s">
        <v>82</v>
      </c>
    </row>
    <row r="19" spans="2:9" x14ac:dyDescent="0.2">
      <c r="B19" s="3">
        <v>41529</v>
      </c>
      <c r="C19" s="6" t="s">
        <v>90</v>
      </c>
      <c r="D19" s="2" t="s">
        <v>130</v>
      </c>
      <c r="E19" s="2" t="s">
        <v>24</v>
      </c>
      <c r="F19" s="2" t="s">
        <v>45</v>
      </c>
      <c r="G19" s="2" t="s">
        <v>20</v>
      </c>
      <c r="H19" s="2">
        <v>1</v>
      </c>
      <c r="I19" s="2" t="s">
        <v>82</v>
      </c>
    </row>
    <row r="20" spans="2:9" x14ac:dyDescent="0.2">
      <c r="B20" s="3">
        <v>41529</v>
      </c>
      <c r="C20" s="6" t="s">
        <v>91</v>
      </c>
      <c r="D20" s="2" t="s">
        <v>131</v>
      </c>
      <c r="E20" s="2" t="s">
        <v>24</v>
      </c>
      <c r="F20" s="2" t="s">
        <v>45</v>
      </c>
      <c r="G20" s="2" t="s">
        <v>20</v>
      </c>
      <c r="H20" s="2">
        <v>1</v>
      </c>
      <c r="I20" s="2" t="s">
        <v>82</v>
      </c>
    </row>
    <row r="21" spans="2:9" x14ac:dyDescent="0.2">
      <c r="B21" s="3">
        <v>41529</v>
      </c>
      <c r="C21" s="6" t="s">
        <v>92</v>
      </c>
      <c r="D21" s="2" t="s">
        <v>132</v>
      </c>
      <c r="E21" s="2" t="s">
        <v>24</v>
      </c>
      <c r="F21" s="2" t="s">
        <v>45</v>
      </c>
      <c r="G21" s="2" t="s">
        <v>20</v>
      </c>
      <c r="H21" s="2">
        <v>1</v>
      </c>
      <c r="I21" s="2" t="s">
        <v>82</v>
      </c>
    </row>
    <row r="22" spans="2:9" x14ac:dyDescent="0.2">
      <c r="B22" s="3">
        <v>41529</v>
      </c>
      <c r="C22" s="6" t="s">
        <v>93</v>
      </c>
      <c r="D22" s="2" t="s">
        <v>133</v>
      </c>
      <c r="E22" s="2" t="s">
        <v>24</v>
      </c>
      <c r="F22" s="2" t="s">
        <v>45</v>
      </c>
      <c r="G22" s="2" t="s">
        <v>20</v>
      </c>
      <c r="H22" s="2">
        <v>1</v>
      </c>
      <c r="I22" s="2" t="s">
        <v>82</v>
      </c>
    </row>
    <row r="23" spans="2:9" x14ac:dyDescent="0.2">
      <c r="B23" s="3">
        <v>41529</v>
      </c>
      <c r="C23" s="6" t="s">
        <v>94</v>
      </c>
      <c r="D23" s="2" t="s">
        <v>134</v>
      </c>
      <c r="E23" s="2" t="s">
        <v>25</v>
      </c>
      <c r="F23" s="2" t="s">
        <v>47</v>
      </c>
      <c r="G23" s="2" t="s">
        <v>20</v>
      </c>
      <c r="H23" s="2">
        <v>1</v>
      </c>
      <c r="I23" s="2" t="s">
        <v>82</v>
      </c>
    </row>
    <row r="24" spans="2:9" x14ac:dyDescent="0.2">
      <c r="B24" s="3">
        <v>41529</v>
      </c>
      <c r="C24" s="6" t="s">
        <v>95</v>
      </c>
      <c r="D24" s="2" t="s">
        <v>135</v>
      </c>
      <c r="E24" s="2" t="s">
        <v>25</v>
      </c>
      <c r="F24" s="2" t="s">
        <v>45</v>
      </c>
      <c r="G24" s="2" t="s">
        <v>20</v>
      </c>
      <c r="H24" s="2">
        <v>1</v>
      </c>
      <c r="I24" s="2" t="s">
        <v>82</v>
      </c>
    </row>
    <row r="25" spans="2:9" x14ac:dyDescent="0.2">
      <c r="B25" s="3">
        <v>41529</v>
      </c>
      <c r="C25" s="6" t="s">
        <v>96</v>
      </c>
      <c r="D25" s="2" t="s">
        <v>136</v>
      </c>
      <c r="E25" s="2" t="s">
        <v>25</v>
      </c>
      <c r="F25" s="2" t="s">
        <v>45</v>
      </c>
      <c r="G25" s="2" t="s">
        <v>20</v>
      </c>
      <c r="H25" s="2">
        <v>1</v>
      </c>
      <c r="I25" s="2" t="s">
        <v>82</v>
      </c>
    </row>
    <row r="26" spans="2:9" x14ac:dyDescent="0.2">
      <c r="B26" s="3">
        <v>41529</v>
      </c>
      <c r="C26" s="6" t="s">
        <v>97</v>
      </c>
      <c r="D26" s="2" t="s">
        <v>137</v>
      </c>
      <c r="E26" s="2" t="s">
        <v>25</v>
      </c>
      <c r="F26" s="2" t="s">
        <v>45</v>
      </c>
      <c r="G26" s="2" t="s">
        <v>20</v>
      </c>
      <c r="H26" s="2">
        <v>1</v>
      </c>
      <c r="I26" s="2" t="s">
        <v>82</v>
      </c>
    </row>
    <row r="27" spans="2:9" x14ac:dyDescent="0.2">
      <c r="B27" s="3">
        <v>41529</v>
      </c>
      <c r="C27" s="6" t="s">
        <v>98</v>
      </c>
      <c r="D27" s="2" t="s">
        <v>138</v>
      </c>
      <c r="E27" s="2" t="s">
        <v>25</v>
      </c>
      <c r="F27" s="2" t="s">
        <v>45</v>
      </c>
      <c r="G27" s="2" t="s">
        <v>20</v>
      </c>
      <c r="H27" s="2">
        <v>1</v>
      </c>
      <c r="I27" s="2" t="s">
        <v>82</v>
      </c>
    </row>
    <row r="28" spans="2:9" x14ac:dyDescent="0.2">
      <c r="B28" s="3">
        <v>41529</v>
      </c>
      <c r="C28" s="6" t="s">
        <v>99</v>
      </c>
      <c r="D28" s="2"/>
      <c r="E28" s="2"/>
      <c r="F28" s="2"/>
      <c r="G28" s="2" t="s">
        <v>20</v>
      </c>
      <c r="H28" s="2">
        <v>1</v>
      </c>
      <c r="I28" s="2" t="s">
        <v>82</v>
      </c>
    </row>
    <row r="29" spans="2:9" x14ac:dyDescent="0.2">
      <c r="B29" s="3">
        <v>41529</v>
      </c>
      <c r="C29" s="6" t="s">
        <v>100</v>
      </c>
      <c r="D29" s="2"/>
      <c r="E29" s="2"/>
      <c r="F29" s="2"/>
      <c r="G29" s="2" t="s">
        <v>20</v>
      </c>
      <c r="H29" s="2">
        <v>1</v>
      </c>
      <c r="I29" s="2" t="s">
        <v>82</v>
      </c>
    </row>
    <row r="30" spans="2:9" x14ac:dyDescent="0.2">
      <c r="B30" s="3">
        <v>41529</v>
      </c>
      <c r="C30" s="6" t="s">
        <v>101</v>
      </c>
      <c r="D30" s="2"/>
      <c r="E30" s="2"/>
      <c r="F30" s="2"/>
      <c r="G30" s="2" t="s">
        <v>20</v>
      </c>
      <c r="H30" s="2">
        <v>1</v>
      </c>
      <c r="I30" s="2" t="s">
        <v>82</v>
      </c>
    </row>
    <row r="31" spans="2:9" x14ac:dyDescent="0.2">
      <c r="B31" s="3">
        <v>41529</v>
      </c>
      <c r="C31" s="6" t="s">
        <v>102</v>
      </c>
      <c r="D31" s="2"/>
      <c r="E31" s="2"/>
      <c r="F31" s="2"/>
      <c r="G31" s="2" t="s">
        <v>20</v>
      </c>
      <c r="H31" s="2">
        <v>1</v>
      </c>
      <c r="I31" s="2" t="s">
        <v>82</v>
      </c>
    </row>
    <row r="32" spans="2:9" x14ac:dyDescent="0.2">
      <c r="B32" s="3">
        <v>41529</v>
      </c>
      <c r="C32" s="6" t="s">
        <v>103</v>
      </c>
      <c r="D32" s="2"/>
      <c r="E32" s="2"/>
      <c r="F32" s="2"/>
      <c r="G32" s="2" t="s">
        <v>20</v>
      </c>
      <c r="H32" s="2">
        <v>1</v>
      </c>
      <c r="I32" s="2" t="s">
        <v>82</v>
      </c>
    </row>
    <row r="33" spans="2:9" x14ac:dyDescent="0.2">
      <c r="B33" s="3">
        <v>41529</v>
      </c>
      <c r="C33" s="6" t="s">
        <v>104</v>
      </c>
      <c r="D33" s="2"/>
      <c r="E33" s="2"/>
      <c r="F33" s="2"/>
      <c r="G33" s="2" t="s">
        <v>20</v>
      </c>
      <c r="H33" s="2">
        <v>1</v>
      </c>
      <c r="I33" s="2" t="s">
        <v>82</v>
      </c>
    </row>
    <row r="34" spans="2:9" x14ac:dyDescent="0.2">
      <c r="B34" s="3">
        <v>41529</v>
      </c>
      <c r="C34" s="6" t="s">
        <v>105</v>
      </c>
      <c r="D34" s="2"/>
      <c r="E34" s="2"/>
      <c r="F34" s="2"/>
      <c r="G34" s="2" t="s">
        <v>20</v>
      </c>
      <c r="H34" s="2">
        <v>1</v>
      </c>
      <c r="I34" s="2" t="s">
        <v>82</v>
      </c>
    </row>
    <row r="35" spans="2:9" x14ac:dyDescent="0.2">
      <c r="B35" s="3">
        <v>41529</v>
      </c>
      <c r="C35" s="6" t="s">
        <v>106</v>
      </c>
      <c r="D35" s="2"/>
      <c r="E35" s="2"/>
      <c r="F35" s="2"/>
      <c r="G35" s="2" t="s">
        <v>20</v>
      </c>
      <c r="H35" s="2">
        <v>1</v>
      </c>
      <c r="I35" s="2" t="s">
        <v>82</v>
      </c>
    </row>
    <row r="36" spans="2:9" x14ac:dyDescent="0.2">
      <c r="B36" s="3">
        <v>41529</v>
      </c>
      <c r="C36" s="6" t="s">
        <v>107</v>
      </c>
      <c r="D36" s="2"/>
      <c r="E36" s="2"/>
      <c r="F36" s="2"/>
      <c r="G36" s="2" t="s">
        <v>20</v>
      </c>
      <c r="H36" s="2">
        <v>1</v>
      </c>
      <c r="I36" s="2" t="s">
        <v>82</v>
      </c>
    </row>
    <row r="37" spans="2:9" x14ac:dyDescent="0.2">
      <c r="B37" s="3">
        <v>41529</v>
      </c>
      <c r="C37" s="6" t="s">
        <v>108</v>
      </c>
      <c r="D37" s="2"/>
      <c r="E37" s="2"/>
      <c r="F37" s="2"/>
      <c r="G37" s="2" t="s">
        <v>20</v>
      </c>
      <c r="H37" s="2">
        <v>1</v>
      </c>
      <c r="I37" s="2" t="s">
        <v>82</v>
      </c>
    </row>
    <row r="38" spans="2:9" x14ac:dyDescent="0.2">
      <c r="B38" s="3">
        <v>41529</v>
      </c>
      <c r="C38" s="6" t="s">
        <v>109</v>
      </c>
      <c r="D38" s="2"/>
      <c r="E38" s="2"/>
      <c r="F38" s="2"/>
      <c r="G38" s="2" t="s">
        <v>20</v>
      </c>
      <c r="H38" s="2">
        <v>1</v>
      </c>
      <c r="I38" s="2" t="s">
        <v>82</v>
      </c>
    </row>
    <row r="39" spans="2:9" x14ac:dyDescent="0.2">
      <c r="B39" s="3">
        <v>41529</v>
      </c>
      <c r="C39" s="6" t="s">
        <v>110</v>
      </c>
      <c r="D39" s="2"/>
      <c r="E39" s="2"/>
      <c r="F39" s="2"/>
      <c r="G39" s="2" t="s">
        <v>20</v>
      </c>
      <c r="H39" s="2">
        <v>1</v>
      </c>
      <c r="I39" s="2" t="s">
        <v>82</v>
      </c>
    </row>
    <row r="40" spans="2:9" x14ac:dyDescent="0.2">
      <c r="B40" s="3">
        <v>41529</v>
      </c>
      <c r="C40" s="6" t="s">
        <v>111</v>
      </c>
      <c r="D40" s="2"/>
      <c r="E40" s="2"/>
      <c r="F40" s="2"/>
      <c r="G40" s="2" t="s">
        <v>20</v>
      </c>
      <c r="H40" s="2">
        <v>1</v>
      </c>
      <c r="I40" s="2" t="s">
        <v>82</v>
      </c>
    </row>
    <row r="41" spans="2:9" x14ac:dyDescent="0.2">
      <c r="B41" s="3">
        <v>41529</v>
      </c>
      <c r="C41" s="6" t="s">
        <v>112</v>
      </c>
      <c r="D41" s="2"/>
      <c r="E41" s="2"/>
      <c r="F41" s="2"/>
      <c r="G41" s="2" t="s">
        <v>20</v>
      </c>
      <c r="H41" s="2">
        <v>1</v>
      </c>
      <c r="I41" s="2" t="s">
        <v>82</v>
      </c>
    </row>
    <row r="42" spans="2:9" x14ac:dyDescent="0.2">
      <c r="B42" s="3">
        <v>41529</v>
      </c>
      <c r="C42" s="6" t="s">
        <v>113</v>
      </c>
      <c r="D42" s="2"/>
      <c r="E42" s="2"/>
      <c r="F42" s="2"/>
      <c r="G42" s="2" t="s">
        <v>20</v>
      </c>
      <c r="H42" s="2">
        <v>1</v>
      </c>
      <c r="I42" s="2" t="s">
        <v>82</v>
      </c>
    </row>
    <row r="43" spans="2:9" x14ac:dyDescent="0.2">
      <c r="B43" s="3">
        <v>41529</v>
      </c>
      <c r="C43" s="6" t="s">
        <v>114</v>
      </c>
      <c r="D43" s="2"/>
      <c r="E43" s="2"/>
      <c r="F43" s="2"/>
      <c r="G43" s="2" t="s">
        <v>20</v>
      </c>
      <c r="H43" s="2">
        <v>1</v>
      </c>
      <c r="I43" s="2" t="s">
        <v>82</v>
      </c>
    </row>
    <row r="44" spans="2:9" x14ac:dyDescent="0.2">
      <c r="B44" s="3">
        <v>41529</v>
      </c>
      <c r="C44" s="6" t="s">
        <v>115</v>
      </c>
      <c r="D44" s="2"/>
      <c r="E44" s="2"/>
      <c r="F44" s="2"/>
      <c r="G44" s="2" t="s">
        <v>20</v>
      </c>
      <c r="H44" s="2">
        <v>1</v>
      </c>
      <c r="I44" s="2" t="s">
        <v>82</v>
      </c>
    </row>
    <row r="45" spans="2:9" x14ac:dyDescent="0.2">
      <c r="B45" s="3">
        <v>41529</v>
      </c>
      <c r="C45" s="6" t="s">
        <v>116</v>
      </c>
      <c r="D45" s="2"/>
      <c r="E45" s="2"/>
      <c r="F45" s="2"/>
      <c r="G45" s="2" t="s">
        <v>20</v>
      </c>
      <c r="H45" s="2">
        <v>1</v>
      </c>
      <c r="I45" s="2" t="s">
        <v>82</v>
      </c>
    </row>
    <row r="46" spans="2:9" x14ac:dyDescent="0.2">
      <c r="B46" s="3">
        <v>41529</v>
      </c>
      <c r="C46" s="6" t="s">
        <v>117</v>
      </c>
      <c r="D46" s="2"/>
      <c r="E46" s="2"/>
      <c r="F46" s="2"/>
      <c r="G46" s="2" t="s">
        <v>20</v>
      </c>
      <c r="H46" s="2">
        <v>1</v>
      </c>
      <c r="I46" s="2" t="s">
        <v>82</v>
      </c>
    </row>
    <row r="47" spans="2:9" x14ac:dyDescent="0.2">
      <c r="B47" s="3">
        <v>41529</v>
      </c>
      <c r="C47" s="6" t="s">
        <v>118</v>
      </c>
      <c r="D47" s="2"/>
      <c r="E47" s="2"/>
      <c r="F47" s="2"/>
      <c r="G47" s="2" t="s">
        <v>20</v>
      </c>
      <c r="H47" s="2">
        <v>1</v>
      </c>
      <c r="I47" s="2" t="s">
        <v>82</v>
      </c>
    </row>
    <row r="48" spans="2:9" x14ac:dyDescent="0.2">
      <c r="B48" s="3">
        <v>41529</v>
      </c>
      <c r="C48" s="6" t="s">
        <v>119</v>
      </c>
      <c r="D48" s="2"/>
      <c r="E48" s="2"/>
      <c r="F48" s="2"/>
      <c r="G48" s="2" t="s">
        <v>20</v>
      </c>
      <c r="H48" s="2">
        <v>1</v>
      </c>
      <c r="I48" s="2" t="s">
        <v>82</v>
      </c>
    </row>
    <row r="49" spans="2:9" x14ac:dyDescent="0.2">
      <c r="B49" s="3">
        <v>41529</v>
      </c>
      <c r="C49" s="6" t="s">
        <v>120</v>
      </c>
      <c r="D49" s="2"/>
      <c r="E49" s="2"/>
      <c r="F49" s="2"/>
      <c r="G49" s="2" t="s">
        <v>20</v>
      </c>
      <c r="H49" s="2">
        <v>1</v>
      </c>
      <c r="I49" s="2" t="s">
        <v>82</v>
      </c>
    </row>
    <row r="50" spans="2:9" x14ac:dyDescent="0.2">
      <c r="B50" s="3">
        <v>41529</v>
      </c>
      <c r="C50" s="6" t="s">
        <v>121</v>
      </c>
      <c r="D50" s="2"/>
      <c r="E50" s="2"/>
      <c r="F50" s="2"/>
      <c r="G50" s="2" t="s">
        <v>20</v>
      </c>
      <c r="H50" s="2">
        <v>1</v>
      </c>
      <c r="I50" s="2" t="s">
        <v>82</v>
      </c>
    </row>
    <row r="51" spans="2:9" x14ac:dyDescent="0.2">
      <c r="B51" s="3">
        <v>41529</v>
      </c>
      <c r="C51" s="6" t="s">
        <v>122</v>
      </c>
      <c r="D51" s="2"/>
      <c r="E51" s="2"/>
      <c r="F51" s="2"/>
      <c r="G51" s="2" t="s">
        <v>20</v>
      </c>
      <c r="H51" s="2">
        <v>1</v>
      </c>
      <c r="I51" s="2" t="s">
        <v>82</v>
      </c>
    </row>
    <row r="52" spans="2:9" x14ac:dyDescent="0.2">
      <c r="B52" s="3">
        <v>41529</v>
      </c>
      <c r="C52" s="6" t="s">
        <v>123</v>
      </c>
      <c r="D52" s="2"/>
      <c r="E52" s="2"/>
      <c r="F52" s="2"/>
      <c r="G52" s="2" t="s">
        <v>20</v>
      </c>
      <c r="H52" s="2">
        <v>1</v>
      </c>
      <c r="I52" s="2" t="s">
        <v>82</v>
      </c>
    </row>
    <row r="53" spans="2:9" x14ac:dyDescent="0.2">
      <c r="B53" s="3">
        <v>41529</v>
      </c>
      <c r="C53" s="6" t="s">
        <v>124</v>
      </c>
      <c r="D53" s="2"/>
      <c r="E53" s="2"/>
      <c r="F53" s="2"/>
      <c r="G53" s="2" t="s">
        <v>20</v>
      </c>
      <c r="H53" s="2">
        <v>1</v>
      </c>
      <c r="I53" s="2" t="s">
        <v>82</v>
      </c>
    </row>
    <row r="54" spans="2:9" x14ac:dyDescent="0.2">
      <c r="B54" s="3">
        <v>41529</v>
      </c>
      <c r="C54" s="6" t="s">
        <v>125</v>
      </c>
      <c r="D54" s="2"/>
      <c r="E54" s="2"/>
      <c r="F54" s="2"/>
      <c r="G54" s="2" t="s">
        <v>20</v>
      </c>
      <c r="H54" s="2">
        <v>1</v>
      </c>
      <c r="I54" s="2" t="s">
        <v>82</v>
      </c>
    </row>
    <row r="55" spans="2:9" x14ac:dyDescent="0.2">
      <c r="B55" s="3">
        <v>41529</v>
      </c>
      <c r="C55" s="6" t="s">
        <v>126</v>
      </c>
      <c r="D55" s="2"/>
      <c r="E55" s="2"/>
      <c r="F55" s="2"/>
      <c r="G55" s="2" t="s">
        <v>20</v>
      </c>
      <c r="H55" s="2">
        <v>1</v>
      </c>
      <c r="I55" s="2" t="s">
        <v>82</v>
      </c>
    </row>
    <row r="56" spans="2:9" x14ac:dyDescent="0.2">
      <c r="B56" s="3">
        <v>41529</v>
      </c>
      <c r="C56" s="6" t="s">
        <v>127</v>
      </c>
      <c r="D56" s="2"/>
      <c r="E56" s="2"/>
      <c r="F56" s="2"/>
      <c r="G56" s="2" t="s">
        <v>20</v>
      </c>
      <c r="H56" s="2">
        <v>1</v>
      </c>
      <c r="I56" s="2" t="s">
        <v>82</v>
      </c>
    </row>
    <row r="57" spans="2:9" x14ac:dyDescent="0.2">
      <c r="B57" s="3">
        <v>41529</v>
      </c>
      <c r="C57" s="6" t="s">
        <v>128</v>
      </c>
      <c r="D57" s="2"/>
      <c r="E57" s="2"/>
      <c r="F57" s="2"/>
      <c r="G57" s="2" t="s">
        <v>20</v>
      </c>
      <c r="H57" s="2">
        <v>1</v>
      </c>
      <c r="I57" s="2" t="s">
        <v>82</v>
      </c>
    </row>
    <row r="58" spans="2:9" x14ac:dyDescent="0.2">
      <c r="B58" s="5"/>
    </row>
    <row r="59" spans="2:9" x14ac:dyDescent="0.2">
      <c r="B59" s="5"/>
    </row>
    <row r="60" spans="2:9" x14ac:dyDescent="0.2">
      <c r="B60" s="5"/>
    </row>
    <row r="61" spans="2:9" x14ac:dyDescent="0.2">
      <c r="B61" s="5"/>
    </row>
    <row r="62" spans="2:9" x14ac:dyDescent="0.2">
      <c r="B62" s="5"/>
    </row>
    <row r="63" spans="2:9" x14ac:dyDescent="0.2">
      <c r="B63" s="5"/>
    </row>
    <row r="64" spans="2:9" x14ac:dyDescent="0.2">
      <c r="B64" s="5"/>
    </row>
    <row r="65" spans="2:2" x14ac:dyDescent="0.2">
      <c r="B65" s="5"/>
    </row>
    <row r="66" spans="2:2" x14ac:dyDescent="0.2">
      <c r="B66" s="5"/>
    </row>
    <row r="67" spans="2:2" x14ac:dyDescent="0.2">
      <c r="B67" s="5"/>
    </row>
    <row r="68" spans="2:2" x14ac:dyDescent="0.2">
      <c r="B68" s="5"/>
    </row>
    <row r="69" spans="2:2" x14ac:dyDescent="0.2">
      <c r="B69" s="5"/>
    </row>
    <row r="70" spans="2:2" x14ac:dyDescent="0.2">
      <c r="B70" s="5"/>
    </row>
    <row r="71" spans="2:2" x14ac:dyDescent="0.2">
      <c r="B71" s="5"/>
    </row>
    <row r="72" spans="2:2" x14ac:dyDescent="0.2">
      <c r="B72" s="5"/>
    </row>
    <row r="73" spans="2:2" x14ac:dyDescent="0.2">
      <c r="B73" s="5"/>
    </row>
    <row r="74" spans="2:2" x14ac:dyDescent="0.2">
      <c r="B74" s="5"/>
    </row>
    <row r="75" spans="2:2" x14ac:dyDescent="0.2">
      <c r="B75" s="5"/>
    </row>
    <row r="76" spans="2:2" x14ac:dyDescent="0.2">
      <c r="B76" s="5"/>
    </row>
    <row r="77" spans="2:2" x14ac:dyDescent="0.2">
      <c r="B77" s="5"/>
    </row>
    <row r="78" spans="2:2" x14ac:dyDescent="0.2">
      <c r="B78" s="5"/>
    </row>
    <row r="79" spans="2:2" x14ac:dyDescent="0.2">
      <c r="B79" s="5"/>
    </row>
    <row r="80" spans="2:2" x14ac:dyDescent="0.2">
      <c r="B80" s="5"/>
    </row>
    <row r="81" spans="2:2" x14ac:dyDescent="0.2">
      <c r="B81" s="5"/>
    </row>
    <row r="82" spans="2:2" x14ac:dyDescent="0.2">
      <c r="B82" s="5"/>
    </row>
    <row r="83" spans="2:2" x14ac:dyDescent="0.2">
      <c r="B83" s="5"/>
    </row>
    <row r="84" spans="2:2" x14ac:dyDescent="0.2">
      <c r="B84" s="5"/>
    </row>
    <row r="85" spans="2:2" x14ac:dyDescent="0.2">
      <c r="B85" s="5"/>
    </row>
    <row r="86" spans="2:2" x14ac:dyDescent="0.2">
      <c r="B86" s="5"/>
    </row>
    <row r="87" spans="2:2" x14ac:dyDescent="0.2">
      <c r="B87" s="5"/>
    </row>
    <row r="88" spans="2:2" x14ac:dyDescent="0.2">
      <c r="B88" s="5"/>
    </row>
    <row r="89" spans="2:2" x14ac:dyDescent="0.2">
      <c r="B89" s="5"/>
    </row>
    <row r="90" spans="2:2" x14ac:dyDescent="0.2">
      <c r="B90" s="5"/>
    </row>
    <row r="91" spans="2:2" x14ac:dyDescent="0.2">
      <c r="B91" s="5"/>
    </row>
    <row r="92" spans="2:2" x14ac:dyDescent="0.2">
      <c r="B92" s="5"/>
    </row>
    <row r="93" spans="2:2" x14ac:dyDescent="0.2">
      <c r="B93" s="5"/>
    </row>
    <row r="94" spans="2:2" x14ac:dyDescent="0.2">
      <c r="B94" s="5"/>
    </row>
    <row r="95" spans="2:2" x14ac:dyDescent="0.2">
      <c r="B95" s="5"/>
    </row>
    <row r="96" spans="2:2" x14ac:dyDescent="0.2">
      <c r="B96" s="5"/>
    </row>
    <row r="136" spans="2:2" x14ac:dyDescent="0.2">
      <c r="B136" s="1"/>
    </row>
    <row r="137" spans="2:2" x14ac:dyDescent="0.2">
      <c r="B137" s="1"/>
    </row>
    <row r="138" spans="2:2" x14ac:dyDescent="0.2">
      <c r="B138" s="1"/>
    </row>
    <row r="139" spans="2:2" x14ac:dyDescent="0.2">
      <c r="B139" s="1"/>
    </row>
    <row r="140" spans="2:2" x14ac:dyDescent="0.2">
      <c r="B140" s="1"/>
    </row>
    <row r="141" spans="2:2" x14ac:dyDescent="0.2">
      <c r="B141" s="1"/>
    </row>
    <row r="142" spans="2:2" x14ac:dyDescent="0.2">
      <c r="B142" s="1"/>
    </row>
    <row r="143" spans="2:2" x14ac:dyDescent="0.2">
      <c r="B143" s="1"/>
    </row>
    <row r="144" spans="2:2" x14ac:dyDescent="0.2">
      <c r="B144" s="1"/>
    </row>
    <row r="145" spans="2:2" x14ac:dyDescent="0.2">
      <c r="B145" s="1"/>
    </row>
    <row r="146" spans="2:2" x14ac:dyDescent="0.2">
      <c r="B146" s="1"/>
    </row>
    <row r="147" spans="2:2" x14ac:dyDescent="0.2">
      <c r="B147" s="1"/>
    </row>
    <row r="148" spans="2:2" x14ac:dyDescent="0.2">
      <c r="B148" s="1"/>
    </row>
    <row r="149" spans="2:2" x14ac:dyDescent="0.2">
      <c r="B149" s="1"/>
    </row>
    <row r="150" spans="2:2" x14ac:dyDescent="0.2">
      <c r="B150" s="1"/>
    </row>
    <row r="151" spans="2:2" x14ac:dyDescent="0.2">
      <c r="B151" s="1"/>
    </row>
    <row r="152" spans="2:2" x14ac:dyDescent="0.2">
      <c r="B152" s="1"/>
    </row>
    <row r="153" spans="2:2" x14ac:dyDescent="0.2">
      <c r="B153" s="1"/>
    </row>
    <row r="154" spans="2:2" x14ac:dyDescent="0.2">
      <c r="B154" s="1"/>
    </row>
    <row r="155" spans="2:2" x14ac:dyDescent="0.2">
      <c r="B155" s="1"/>
    </row>
    <row r="156" spans="2:2" x14ac:dyDescent="0.2">
      <c r="B156" s="1"/>
    </row>
    <row r="157" spans="2:2" x14ac:dyDescent="0.2">
      <c r="B157" s="1"/>
    </row>
    <row r="158" spans="2:2" x14ac:dyDescent="0.2">
      <c r="B158" s="1"/>
    </row>
    <row r="159" spans="2:2" x14ac:dyDescent="0.2">
      <c r="B159" s="1"/>
    </row>
    <row r="160" spans="2:2" x14ac:dyDescent="0.2">
      <c r="B160" s="1"/>
    </row>
    <row r="161" spans="2:2" x14ac:dyDescent="0.2">
      <c r="B161" s="1"/>
    </row>
    <row r="162" spans="2:2" x14ac:dyDescent="0.2">
      <c r="B162" s="1"/>
    </row>
    <row r="163" spans="2:2" x14ac:dyDescent="0.2">
      <c r="B163" s="1"/>
    </row>
    <row r="164" spans="2:2" x14ac:dyDescent="0.2">
      <c r="B164" s="1"/>
    </row>
    <row r="165" spans="2:2" x14ac:dyDescent="0.2">
      <c r="B165" s="1"/>
    </row>
    <row r="166" spans="2:2" x14ac:dyDescent="0.2">
      <c r="B166" s="1"/>
    </row>
    <row r="167" spans="2:2" x14ac:dyDescent="0.2">
      <c r="B167" s="1"/>
    </row>
    <row r="168" spans="2:2" x14ac:dyDescent="0.2">
      <c r="B168" s="1"/>
    </row>
    <row r="169" spans="2:2" x14ac:dyDescent="0.2">
      <c r="B169" s="1"/>
    </row>
    <row r="170" spans="2:2" x14ac:dyDescent="0.2">
      <c r="B170" s="1"/>
    </row>
    <row r="171" spans="2:2" x14ac:dyDescent="0.2">
      <c r="B171" s="1"/>
    </row>
    <row r="172" spans="2:2" x14ac:dyDescent="0.2">
      <c r="B172" s="1"/>
    </row>
    <row r="173" spans="2:2" x14ac:dyDescent="0.2">
      <c r="B173" s="1"/>
    </row>
    <row r="174" spans="2:2" x14ac:dyDescent="0.2">
      <c r="B174" s="1"/>
    </row>
  </sheetData>
  <autoFilter ref="B3:I17" xr:uid="{D4F6E53F-045B-4B81-A788-FBDC7C927C43}"/>
  <dataConsolidate/>
  <phoneticPr fontId="1" type="noConversion"/>
  <conditionalFormatting sqref="G1:G1048576">
    <cfRule type="expression" dxfId="3" priority="2">
      <formula>G1="NON"</formula>
    </cfRule>
    <cfRule type="expression" dxfId="2" priority="3">
      <formula>G1="OUI"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B5D1A54-6F0A-495F-BFB4-FA74568523DD}">
          <x14:formula1>
            <xm:f>Datas!$C$4:$C$24</xm:f>
          </x14:formula1>
          <xm:sqref>E1:E1048576</xm:sqref>
        </x14:dataValidation>
        <x14:dataValidation type="list" allowBlank="1" showInputMessage="1" showErrorMessage="1" xr:uid="{41D15BE0-799B-48EA-A7FC-341516FAC029}">
          <x14:formula1>
            <xm:f>Datas!$E$4:$E$19</xm:f>
          </x14:formula1>
          <xm:sqref>F1:F1048576</xm:sqref>
        </x14:dataValidation>
        <x14:dataValidation type="list" allowBlank="1" showInputMessage="1" showErrorMessage="1" xr:uid="{4665BF6B-43EE-4005-80C9-1868A18E4B22}">
          <x14:formula1>
            <xm:f>Datas!$G$3:$G$4</xm:f>
          </x14:formula1>
          <xm:sqref>G1:G1048576</xm:sqref>
        </x14:dataValidation>
        <x14:dataValidation type="list" allowBlank="1" showInputMessage="1" showErrorMessage="1" xr:uid="{3A2F2DDE-61B7-B943-95B0-9D9691A3BF21}">
          <x14:formula1>
            <xm:f>Datas!$I$3:$I$9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77B5D-63B4-4BA8-BAA0-01724C7D5AFE}">
  <dimension ref="D8:E12"/>
  <sheetViews>
    <sheetView topLeftCell="K7" zoomScale="169" workbookViewId="0">
      <selection activeCell="K22" sqref="K22"/>
    </sheetView>
  </sheetViews>
  <sheetFormatPr baseColWidth="10" defaultRowHeight="15" x14ac:dyDescent="0.2"/>
  <cols>
    <col min="3" max="3" width="24" bestFit="1" customWidth="1"/>
    <col min="4" max="4" width="18.83203125" customWidth="1"/>
    <col min="5" max="5" width="7.1640625" bestFit="1" customWidth="1"/>
  </cols>
  <sheetData>
    <row r="8" spans="4:5" x14ac:dyDescent="0.2">
      <c r="D8" s="2" t="s">
        <v>75</v>
      </c>
      <c r="E8" s="2" t="s">
        <v>79</v>
      </c>
    </row>
    <row r="9" spans="4:5" x14ac:dyDescent="0.2">
      <c r="D9" s="2" t="s">
        <v>76</v>
      </c>
      <c r="E9" s="2">
        <f>COUNTA(Collection!G4:G17)</f>
        <v>14</v>
      </c>
    </row>
    <row r="10" spans="4:5" x14ac:dyDescent="0.2">
      <c r="D10" s="2" t="s">
        <v>77</v>
      </c>
      <c r="E10" s="2">
        <f>COUNTIF(Collection!G4:G17, "OUI")</f>
        <v>10</v>
      </c>
    </row>
    <row r="11" spans="4:5" x14ac:dyDescent="0.2">
      <c r="D11" s="2" t="s">
        <v>80</v>
      </c>
      <c r="E11" s="2">
        <f>E9-E10</f>
        <v>4</v>
      </c>
    </row>
    <row r="12" spans="4:5" x14ac:dyDescent="0.2">
      <c r="D12" s="2" t="s">
        <v>78</v>
      </c>
      <c r="E12" s="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CBB92-3286-4DC6-9063-C98C0106F1C4}">
  <dimension ref="C3:I24"/>
  <sheetViews>
    <sheetView workbookViewId="0">
      <selection activeCell="I21" sqref="I21"/>
    </sheetView>
  </sheetViews>
  <sheetFormatPr baseColWidth="10" defaultRowHeight="15" x14ac:dyDescent="0.2"/>
  <cols>
    <col min="3" max="3" width="16.5" bestFit="1" customWidth="1"/>
    <col min="5" max="5" width="13.5" bestFit="1" customWidth="1"/>
    <col min="9" max="9" width="15.6640625" bestFit="1" customWidth="1"/>
  </cols>
  <sheetData>
    <row r="3" spans="3:9" x14ac:dyDescent="0.2">
      <c r="C3" s="2" t="s">
        <v>23</v>
      </c>
      <c r="E3" s="2" t="s">
        <v>15</v>
      </c>
      <c r="G3" t="s">
        <v>20</v>
      </c>
      <c r="I3" t="s">
        <v>81</v>
      </c>
    </row>
    <row r="4" spans="3:9" x14ac:dyDescent="0.2">
      <c r="C4" s="2" t="s">
        <v>24</v>
      </c>
      <c r="E4" s="2" t="s">
        <v>45</v>
      </c>
      <c r="G4" t="s">
        <v>62</v>
      </c>
      <c r="I4" t="s">
        <v>82</v>
      </c>
    </row>
    <row r="5" spans="3:9" x14ac:dyDescent="0.2">
      <c r="C5" s="2" t="s">
        <v>25</v>
      </c>
      <c r="E5" s="2" t="s">
        <v>46</v>
      </c>
      <c r="I5" t="s">
        <v>83</v>
      </c>
    </row>
    <row r="6" spans="3:9" x14ac:dyDescent="0.2">
      <c r="C6" s="2" t="s">
        <v>35</v>
      </c>
      <c r="E6" s="2" t="s">
        <v>47</v>
      </c>
      <c r="I6" t="s">
        <v>84</v>
      </c>
    </row>
    <row r="7" spans="3:9" x14ac:dyDescent="0.2">
      <c r="C7" s="2" t="s">
        <v>26</v>
      </c>
      <c r="E7" s="2" t="s">
        <v>48</v>
      </c>
      <c r="I7" t="s">
        <v>85</v>
      </c>
    </row>
    <row r="8" spans="3:9" x14ac:dyDescent="0.2">
      <c r="C8" s="2" t="s">
        <v>27</v>
      </c>
      <c r="E8" s="2" t="s">
        <v>49</v>
      </c>
      <c r="I8" t="s">
        <v>86</v>
      </c>
    </row>
    <row r="9" spans="3:9" x14ac:dyDescent="0.2">
      <c r="C9" s="2" t="s">
        <v>28</v>
      </c>
      <c r="E9" s="2" t="s">
        <v>50</v>
      </c>
      <c r="I9" t="s">
        <v>87</v>
      </c>
    </row>
    <row r="10" spans="3:9" x14ac:dyDescent="0.2">
      <c r="C10" s="2" t="s">
        <v>29</v>
      </c>
      <c r="E10" s="2" t="s">
        <v>51</v>
      </c>
    </row>
    <row r="11" spans="3:9" x14ac:dyDescent="0.2">
      <c r="C11" s="2" t="s">
        <v>30</v>
      </c>
      <c r="E11" s="2" t="s">
        <v>52</v>
      </c>
    </row>
    <row r="12" spans="3:9" x14ac:dyDescent="0.2">
      <c r="C12" s="2" t="s">
        <v>41</v>
      </c>
      <c r="E12" s="2" t="s">
        <v>53</v>
      </c>
    </row>
    <row r="13" spans="3:9" x14ac:dyDescent="0.2">
      <c r="C13" s="2" t="s">
        <v>42</v>
      </c>
      <c r="E13" s="2" t="s">
        <v>54</v>
      </c>
    </row>
    <row r="14" spans="3:9" x14ac:dyDescent="0.2">
      <c r="C14" s="2" t="s">
        <v>43</v>
      </c>
      <c r="E14" s="2" t="s">
        <v>55</v>
      </c>
    </row>
    <row r="15" spans="3:9" x14ac:dyDescent="0.2">
      <c r="C15" s="2" t="s">
        <v>44</v>
      </c>
      <c r="E15" s="2" t="s">
        <v>56</v>
      </c>
    </row>
    <row r="16" spans="3:9" x14ac:dyDescent="0.2">
      <c r="C16" s="2" t="s">
        <v>31</v>
      </c>
      <c r="E16" s="2" t="s">
        <v>57</v>
      </c>
    </row>
    <row r="17" spans="3:5" x14ac:dyDescent="0.2">
      <c r="C17" s="2" t="s">
        <v>32</v>
      </c>
      <c r="E17" s="2" t="s">
        <v>58</v>
      </c>
    </row>
    <row r="18" spans="3:5" x14ac:dyDescent="0.2">
      <c r="C18" s="2" t="s">
        <v>33</v>
      </c>
      <c r="E18" s="2" t="s">
        <v>59</v>
      </c>
    </row>
    <row r="19" spans="3:5" x14ac:dyDescent="0.2">
      <c r="C19" s="2" t="s">
        <v>34</v>
      </c>
      <c r="E19" s="2" t="s">
        <v>60</v>
      </c>
    </row>
    <row r="20" spans="3:5" x14ac:dyDescent="0.2">
      <c r="C20" s="2" t="s">
        <v>36</v>
      </c>
      <c r="E20" s="4"/>
    </row>
    <row r="21" spans="3:5" x14ac:dyDescent="0.2">
      <c r="C21" s="2" t="s">
        <v>37</v>
      </c>
    </row>
    <row r="22" spans="3:5" x14ac:dyDescent="0.2">
      <c r="C22" s="2" t="s">
        <v>38</v>
      </c>
    </row>
    <row r="23" spans="3:5" x14ac:dyDescent="0.2">
      <c r="C23" s="2" t="s">
        <v>39</v>
      </c>
    </row>
    <row r="24" spans="3:5" x14ac:dyDescent="0.2">
      <c r="C24" s="2" t="s">
        <v>40</v>
      </c>
    </row>
  </sheetData>
  <dataValidations count="1">
    <dataValidation type="list" allowBlank="1" showInputMessage="1" showErrorMessage="1" sqref="I9" xr:uid="{F2E251EA-F5F0-284B-B1A8-EF265EC6E0D2}">
      <formula1>$E$4:$E$19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1F61D0-69FB-488A-ABD9-5A5C50C670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Collection</vt:lpstr>
      <vt:lpstr>Stats</vt:lpstr>
      <vt:lpstr>Datas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 LS</dc:creator>
  <cp:lastModifiedBy>Yann Lemaire-suau</cp:lastModifiedBy>
  <dcterms:created xsi:type="dcterms:W3CDTF">2025-08-20T20:35:37Z</dcterms:created>
  <dcterms:modified xsi:type="dcterms:W3CDTF">2025-08-28T20:32:00Z</dcterms:modified>
</cp:coreProperties>
</file>