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nnh\Desktop\"/>
    </mc:Choice>
  </mc:AlternateContent>
  <xr:revisionPtr revIDLastSave="0" documentId="13_ncr:1_{EA597600-D657-42AB-8BCA-160FA884F113}" xr6:coauthVersionLast="47" xr6:coauthVersionMax="47" xr10:uidLastSave="{00000000-0000-0000-0000-000000000000}"/>
  <bookViews>
    <workbookView xWindow="-83" yWindow="0" windowWidth="9766" windowHeight="11363" activeTab="1" xr2:uid="{ECAB6730-397E-41EF-90DB-6710F1D3E2DD}"/>
  </bookViews>
  <sheets>
    <sheet name="TN19" sheetId="1" r:id="rId1"/>
    <sheet name="Stats" sheetId="3" r:id="rId2"/>
    <sheet name="Datas" sheetId="2" r:id="rId3"/>
  </sheets>
  <definedNames>
    <definedName name="_xlnm._FilterDatabase" localSheetId="0" hidden="1">'TN19'!$B$3:$H$17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3" l="1"/>
  <c r="E10" i="3"/>
  <c r="E9" i="3"/>
</calcChain>
</file>

<file path=xl/sharedStrings.xml><?xml version="1.0" encoding="utf-8"?>
<sst xmlns="http://schemas.openxmlformats.org/spreadsheetml/2006/main" count="124" uniqueCount="81">
  <si>
    <t>TN19-FR001</t>
  </si>
  <si>
    <t>TN19-FR002</t>
  </si>
  <si>
    <t>TN19-FR003</t>
  </si>
  <si>
    <t>TN19-FR004</t>
  </si>
  <si>
    <t>TN19-FR005</t>
  </si>
  <si>
    <t>TN19-FR006</t>
  </si>
  <si>
    <t>TN19-FR007</t>
  </si>
  <si>
    <t>TN19-FR008</t>
  </si>
  <si>
    <t>TN19-FR009</t>
  </si>
  <si>
    <t>TN19-FR010</t>
  </si>
  <si>
    <t>TN19-FR011</t>
  </si>
  <si>
    <t>TN19-FR012</t>
  </si>
  <si>
    <t>TN19-FR013</t>
  </si>
  <si>
    <t>TN19-FR014</t>
  </si>
  <si>
    <t>Nom de la carte</t>
  </si>
  <si>
    <t>Rareté</t>
  </si>
  <si>
    <t>Possédée</t>
  </si>
  <si>
    <t>Nombre</t>
  </si>
  <si>
    <t>Référence</t>
  </si>
  <si>
    <t>Date de sortie extension</t>
  </si>
  <si>
    <t>OUI</t>
  </si>
  <si>
    <t>Dragon Ultime Alternatif Aux Yeux Bleus</t>
  </si>
  <si>
    <t xml:space="preserve"> Type de carte</t>
  </si>
  <si>
    <t>Types</t>
  </si>
  <si>
    <t>Monstre Normal</t>
  </si>
  <si>
    <t>Monstre Effet</t>
  </si>
  <si>
    <t>Monstre Fusion</t>
  </si>
  <si>
    <t>Monstre Synchro</t>
  </si>
  <si>
    <t>Monstre XYZ</t>
  </si>
  <si>
    <t>Monstre Pendule</t>
  </si>
  <si>
    <t>Monstre Lien</t>
  </si>
  <si>
    <t>Magie Normal</t>
  </si>
  <si>
    <t>Magie Continue</t>
  </si>
  <si>
    <t>Magie d'équipement</t>
  </si>
  <si>
    <t>Magie Rapide</t>
  </si>
  <si>
    <t>Monstre Rituel</t>
  </si>
  <si>
    <t>Magie Rituelle</t>
  </si>
  <si>
    <t>Magie de Terrain</t>
  </si>
  <si>
    <t>Piège Normal</t>
  </si>
  <si>
    <t>Piège Continu</t>
  </si>
  <si>
    <t>Piège Contre</t>
  </si>
  <si>
    <t>Monstre P.Fusion</t>
  </si>
  <si>
    <t>Monstre P.Synchro</t>
  </si>
  <si>
    <t>Monstre P.XYZ</t>
  </si>
  <si>
    <t>Monstre P.Lien</t>
  </si>
  <si>
    <t>Commune</t>
  </si>
  <si>
    <t>Rare</t>
  </si>
  <si>
    <t>Super Rare</t>
  </si>
  <si>
    <t>Ultra Rare</t>
  </si>
  <si>
    <t>Secret Rare</t>
  </si>
  <si>
    <t>Starlight Rare</t>
  </si>
  <si>
    <t>Ultimate Rare</t>
  </si>
  <si>
    <t>Ghost Rare</t>
  </si>
  <si>
    <t>Gold Rare</t>
  </si>
  <si>
    <t>Platinum Rare</t>
  </si>
  <si>
    <t>Prismatic Rare</t>
  </si>
  <si>
    <t>Collector's Rare</t>
  </si>
  <si>
    <t>Paralell Rare</t>
  </si>
  <si>
    <t>Starfoil</t>
  </si>
  <si>
    <t xml:space="preserve">Mosaic </t>
  </si>
  <si>
    <t>Shatterfoil Rare</t>
  </si>
  <si>
    <t>Magicien du Chaos Sombre MAX</t>
  </si>
  <si>
    <t>NON</t>
  </si>
  <si>
    <t>Éxodia, le Défenseur Légendaire</t>
  </si>
  <si>
    <t>Mana Oracle Palladium</t>
  </si>
  <si>
    <t>Dragon Alternatif Noir aux Yeux Rouges</t>
  </si>
  <si>
    <t>Néo Planeur du Kaiser</t>
  </si>
  <si>
    <t>Obelisk, le Tourmenteur</t>
  </si>
  <si>
    <t>Slifer, le Dragon Céleste</t>
  </si>
  <si>
    <t>Le Dragon Ailé de Râ</t>
  </si>
  <si>
    <t>Raigeki</t>
  </si>
  <si>
    <t>Monster Reborn</t>
  </si>
  <si>
    <t>Migrateur Dimensionnel</t>
  </si>
  <si>
    <t>Nibiru, l'Être Primitif</t>
  </si>
  <si>
    <t>Plus du Tout Gouverneur des Ténèbres</t>
  </si>
  <si>
    <t>Statistique</t>
  </si>
  <si>
    <t>Nombre total d'éléments</t>
  </si>
  <si>
    <t>Nombre d'éléments possédés</t>
  </si>
  <si>
    <t>Pourcentage de complétion</t>
  </si>
  <si>
    <t>Formule</t>
  </si>
  <si>
    <t>Différence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</si>
</sst>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2" xfId="0" applyBorder="1"/>
  </cellXfs>
  <cellStyles count="1">
    <cellStyle name="Normal" xfId="0" builtinId="0"/>
  </cellStyles>
  <dxfs count="2"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5C-4668-96D9-473D4A7F171F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5C-4668-96D9-473D4A7F171F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95C-4668-96D9-473D4A7F171F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5C-4668-96D9-473D4A7F17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387C74-AC4E-4C63-97E0-4D55EE8D7102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5C-4668-96D9-473D4A7F17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49838E-15A1-4E4B-8F1D-7F829F021C79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5C-4668-96D9-473D4A7F1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Stats!$E$9:$E$11</c:f>
              <c:numCache>
                <c:formatCode>General</c:formatCode>
                <c:ptCount val="3"/>
                <c:pt idx="0">
                  <c:v>14</c:v>
                </c:pt>
                <c:pt idx="1">
                  <c:v>10</c:v>
                </c:pt>
                <c:pt idx="2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Stats!$D$10</c15:f>
                <c15:dlblRangeCache>
                  <c:ptCount val="1"/>
                  <c:pt idx="0">
                    <c:v>Nombre d'éléments possédés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95C-4668-96D9-473D4A7F1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8502319"/>
        <c:axId val="1408504239"/>
      </c:barChart>
      <c:catAx>
        <c:axId val="140850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4239"/>
        <c:crosses val="autoZero"/>
        <c:auto val="1"/>
        <c:lblAlgn val="ctr"/>
        <c:lblOffset val="100"/>
        <c:noMultiLvlLbl val="0"/>
      </c:catAx>
      <c:valAx>
        <c:axId val="14085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183355</xdr:colOff>
      <xdr:row>2</xdr:row>
      <xdr:rowOff>28575</xdr:rowOff>
    </xdr:from>
    <xdr:to>
      <xdr:col>13</xdr:col>
      <xdr:colOff>183355</xdr:colOff>
      <xdr:row>17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D706048-FA2D-1BE8-285B-9CC0BF1FB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E53F-045B-4B81-A788-FBDC7C927C43}">
  <sheetPr codeName="Feuil1"/>
  <dimension ref="A1:H17"/>
  <sheetViews>
    <sheetView topLeftCell="D1" workbookViewId="0">
      <selection activeCell="E1" sqref="E1"/>
    </sheetView>
  </sheetViews>
  <sheetFormatPr baseColWidth="10" defaultColWidth="9.06640625" defaultRowHeight="14.25" x14ac:dyDescent="0.45"/>
  <cols>
    <col min="1" max="1" width="9.9296875" bestFit="1" customWidth="1"/>
    <col min="2" max="2" width="21.6640625" bestFit="1" customWidth="1"/>
    <col min="3" max="3" width="10.796875" bestFit="1" customWidth="1"/>
    <col min="4" max="4" width="31.3984375" bestFit="1" customWidth="1"/>
    <col min="5" max="5" width="13.46484375" bestFit="1" customWidth="1"/>
    <col min="6" max="6" width="12" bestFit="1" customWidth="1"/>
    <col min="7" max="7" width="10.46484375" bestFit="1" customWidth="1"/>
  </cols>
  <sheetData>
    <row r="1" spans="1:8" x14ac:dyDescent="0.45">
      <c r="A1" s="1"/>
    </row>
    <row r="3" spans="1:8" x14ac:dyDescent="0.45">
      <c r="B3" s="2" t="s">
        <v>19</v>
      </c>
      <c r="C3" s="2" t="s">
        <v>18</v>
      </c>
      <c r="D3" s="2" t="s">
        <v>14</v>
      </c>
      <c r="E3" s="2" t="s">
        <v>22</v>
      </c>
      <c r="F3" s="2" t="s">
        <v>15</v>
      </c>
      <c r="G3" s="2" t="s">
        <v>16</v>
      </c>
      <c r="H3" s="2" t="s">
        <v>17</v>
      </c>
    </row>
    <row r="4" spans="1:8" x14ac:dyDescent="0.45">
      <c r="B4" s="3">
        <v>43706</v>
      </c>
      <c r="C4" s="2" t="s">
        <v>0</v>
      </c>
      <c r="D4" s="2" t="s">
        <v>21</v>
      </c>
      <c r="E4" s="2" t="s">
        <v>26</v>
      </c>
      <c r="F4" s="2" t="s">
        <v>55</v>
      </c>
      <c r="G4" s="2" t="s">
        <v>20</v>
      </c>
      <c r="H4" s="2">
        <v>1</v>
      </c>
    </row>
    <row r="5" spans="1:8" x14ac:dyDescent="0.45">
      <c r="B5" s="3">
        <v>43706</v>
      </c>
      <c r="C5" s="2" t="s">
        <v>1</v>
      </c>
      <c r="D5" s="2" t="s">
        <v>61</v>
      </c>
      <c r="E5" s="2" t="s">
        <v>35</v>
      </c>
      <c r="F5" s="2" t="s">
        <v>55</v>
      </c>
      <c r="G5" t="s">
        <v>62</v>
      </c>
      <c r="H5" s="2">
        <v>0</v>
      </c>
    </row>
    <row r="6" spans="1:8" x14ac:dyDescent="0.45">
      <c r="B6" s="3">
        <v>43706</v>
      </c>
      <c r="C6" s="2" t="s">
        <v>2</v>
      </c>
      <c r="D6" s="2" t="s">
        <v>63</v>
      </c>
      <c r="E6" s="2" t="s">
        <v>25</v>
      </c>
      <c r="F6" s="2" t="s">
        <v>55</v>
      </c>
      <c r="G6" s="2" t="s">
        <v>20</v>
      </c>
      <c r="H6" s="2">
        <v>1</v>
      </c>
    </row>
    <row r="7" spans="1:8" x14ac:dyDescent="0.45">
      <c r="B7" s="3">
        <v>43706</v>
      </c>
      <c r="C7" s="2" t="s">
        <v>3</v>
      </c>
      <c r="D7" s="2" t="s">
        <v>64</v>
      </c>
      <c r="E7" s="2" t="s">
        <v>25</v>
      </c>
      <c r="F7" s="2" t="s">
        <v>55</v>
      </c>
      <c r="G7" s="2" t="s">
        <v>20</v>
      </c>
      <c r="H7" s="2">
        <v>1</v>
      </c>
    </row>
    <row r="8" spans="1:8" x14ac:dyDescent="0.45">
      <c r="B8" s="3">
        <v>43706</v>
      </c>
      <c r="C8" s="2" t="s">
        <v>4</v>
      </c>
      <c r="D8" s="2" t="s">
        <v>65</v>
      </c>
      <c r="E8" s="2" t="s">
        <v>25</v>
      </c>
      <c r="F8" s="2" t="s">
        <v>55</v>
      </c>
      <c r="G8" s="2" t="s">
        <v>62</v>
      </c>
      <c r="H8" s="2">
        <v>0</v>
      </c>
    </row>
    <row r="9" spans="1:8" x14ac:dyDescent="0.45">
      <c r="B9" s="3">
        <v>43706</v>
      </c>
      <c r="C9" s="2" t="s">
        <v>5</v>
      </c>
      <c r="D9" s="2" t="s">
        <v>66</v>
      </c>
      <c r="E9" s="2" t="s">
        <v>25</v>
      </c>
      <c r="F9" s="2" t="s">
        <v>55</v>
      </c>
      <c r="G9" s="2" t="s">
        <v>20</v>
      </c>
      <c r="H9" s="2">
        <v>1</v>
      </c>
    </row>
    <row r="10" spans="1:8" x14ac:dyDescent="0.45">
      <c r="B10" s="3">
        <v>43706</v>
      </c>
      <c r="C10" s="2" t="s">
        <v>6</v>
      </c>
      <c r="D10" s="2" t="s">
        <v>67</v>
      </c>
      <c r="E10" s="2" t="s">
        <v>25</v>
      </c>
      <c r="F10" s="2" t="s">
        <v>55</v>
      </c>
      <c r="G10" s="2" t="s">
        <v>20</v>
      </c>
      <c r="H10" s="2">
        <v>1</v>
      </c>
    </row>
    <row r="11" spans="1:8" x14ac:dyDescent="0.45">
      <c r="B11" s="3">
        <v>43706</v>
      </c>
      <c r="C11" s="2" t="s">
        <v>7</v>
      </c>
      <c r="D11" s="2" t="s">
        <v>68</v>
      </c>
      <c r="E11" s="2" t="s">
        <v>25</v>
      </c>
      <c r="F11" s="2" t="s">
        <v>55</v>
      </c>
      <c r="G11" s="2" t="s">
        <v>20</v>
      </c>
      <c r="H11" s="2">
        <v>1</v>
      </c>
    </row>
    <row r="12" spans="1:8" x14ac:dyDescent="0.45">
      <c r="B12" s="3">
        <v>43706</v>
      </c>
      <c r="C12" s="2" t="s">
        <v>8</v>
      </c>
      <c r="D12" s="2" t="s">
        <v>69</v>
      </c>
      <c r="E12" s="2" t="s">
        <v>25</v>
      </c>
      <c r="F12" s="2" t="s">
        <v>55</v>
      </c>
      <c r="G12" s="2" t="s">
        <v>20</v>
      </c>
      <c r="H12" s="2">
        <v>1</v>
      </c>
    </row>
    <row r="13" spans="1:8" x14ac:dyDescent="0.45">
      <c r="B13" s="3">
        <v>43706</v>
      </c>
      <c r="C13" s="2" t="s">
        <v>9</v>
      </c>
      <c r="D13" s="2" t="s">
        <v>70</v>
      </c>
      <c r="E13" s="2" t="s">
        <v>31</v>
      </c>
      <c r="F13" s="2" t="s">
        <v>55</v>
      </c>
      <c r="G13" s="2" t="s">
        <v>20</v>
      </c>
      <c r="H13" s="2">
        <v>1</v>
      </c>
    </row>
    <row r="14" spans="1:8" x14ac:dyDescent="0.45">
      <c r="B14" s="3">
        <v>43706</v>
      </c>
      <c r="C14" s="2" t="s">
        <v>10</v>
      </c>
      <c r="D14" s="2" t="s">
        <v>71</v>
      </c>
      <c r="E14" s="2" t="s">
        <v>31</v>
      </c>
      <c r="F14" s="2" t="s">
        <v>55</v>
      </c>
      <c r="G14" s="2" t="s">
        <v>62</v>
      </c>
      <c r="H14" s="2">
        <v>0</v>
      </c>
    </row>
    <row r="15" spans="1:8" x14ac:dyDescent="0.45">
      <c r="B15" s="3">
        <v>43706</v>
      </c>
      <c r="C15" s="2" t="s">
        <v>11</v>
      </c>
      <c r="D15" s="2" t="s">
        <v>72</v>
      </c>
      <c r="E15" s="2" t="s">
        <v>25</v>
      </c>
      <c r="F15" s="2" t="s">
        <v>55</v>
      </c>
      <c r="G15" s="2" t="s">
        <v>20</v>
      </c>
      <c r="H15" s="2">
        <v>1</v>
      </c>
    </row>
    <row r="16" spans="1:8" x14ac:dyDescent="0.45">
      <c r="B16" s="3">
        <v>43706</v>
      </c>
      <c r="C16" s="2" t="s">
        <v>12</v>
      </c>
      <c r="D16" s="2" t="s">
        <v>73</v>
      </c>
      <c r="E16" s="2" t="s">
        <v>25</v>
      </c>
      <c r="F16" s="2" t="s">
        <v>55</v>
      </c>
      <c r="G16" s="2" t="s">
        <v>20</v>
      </c>
      <c r="H16" s="2">
        <v>0</v>
      </c>
    </row>
    <row r="17" spans="2:8" x14ac:dyDescent="0.45">
      <c r="B17" s="3">
        <v>43706</v>
      </c>
      <c r="C17" s="2" t="s">
        <v>13</v>
      </c>
      <c r="D17" s="2" t="s">
        <v>74</v>
      </c>
      <c r="E17" s="2" t="s">
        <v>31</v>
      </c>
      <c r="F17" s="2" t="s">
        <v>55</v>
      </c>
      <c r="G17" s="2" t="s">
        <v>62</v>
      </c>
      <c r="H17" s="2">
        <v>0</v>
      </c>
    </row>
  </sheetData>
  <autoFilter ref="B3:H17" xr:uid="{D4F6E53F-045B-4B81-A788-FBDC7C927C43}"/>
  <phoneticPr fontId="1" type="noConversion"/>
  <conditionalFormatting sqref="G4:G17">
    <cfRule type="expression" dxfId="1" priority="1">
      <formula>G4="NON"</formula>
    </cfRule>
    <cfRule type="expression" dxfId="0" priority="2">
      <formula>G4="OUI"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5D1A54-6F0A-495F-BFB4-FA74568523DD}">
          <x14:formula1>
            <xm:f>Datas!$C$4:$C$24</xm:f>
          </x14:formula1>
          <xm:sqref>E4:E17</xm:sqref>
        </x14:dataValidation>
        <x14:dataValidation type="list" allowBlank="1" showInputMessage="1" showErrorMessage="1" xr:uid="{41D15BE0-799B-48EA-A7FC-341516FAC029}">
          <x14:formula1>
            <xm:f>Datas!$E$4:$E$19</xm:f>
          </x14:formula1>
          <xm:sqref>F4:F17</xm:sqref>
        </x14:dataValidation>
        <x14:dataValidation type="list" allowBlank="1" showInputMessage="1" showErrorMessage="1" xr:uid="{4665BF6B-43EE-4005-80C9-1868A18E4B22}">
          <x14:formula1>
            <xm:f>Datas!$G$3:$G$4</xm:f>
          </x14:formula1>
          <xm:sqref>G4:G17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7B5D-63B4-4BA8-BAA0-01724C7D5AFE}">
  <dimension ref="D8:E12"/>
  <sheetViews>
    <sheetView tabSelected="1" topLeftCell="G2" workbookViewId="0">
      <selection activeCell="K22" sqref="K22"/>
    </sheetView>
  </sheetViews>
  <sheetFormatPr baseColWidth="10" defaultRowHeight="14.25" x14ac:dyDescent="0.45"/>
  <cols>
    <col min="3" max="3" width="24" bestFit="1" customWidth="1"/>
    <col min="4" max="4" width="18.86328125" customWidth="1"/>
    <col min="5" max="5" width="7.19921875" bestFit="1" customWidth="1"/>
  </cols>
  <sheetData>
    <row r="8" spans="4:5" x14ac:dyDescent="0.45">
      <c r="D8" s="2" t="s">
        <v>75</v>
      </c>
      <c r="E8" s="2" t="s">
        <v>79</v>
      </c>
    </row>
    <row r="9" spans="4:5" x14ac:dyDescent="0.45">
      <c r="D9" s="2" t="s">
        <v>76</v>
      </c>
      <c r="E9" s="2">
        <f>COUNTA('TN19'!G4:G17)</f>
        <v>14</v>
      </c>
    </row>
    <row r="10" spans="4:5" x14ac:dyDescent="0.45">
      <c r="D10" s="2" t="s">
        <v>77</v>
      </c>
      <c r="E10" s="2">
        <f>COUNTIF('TN19'!G4:G17, "OUI")</f>
        <v>10</v>
      </c>
    </row>
    <row r="11" spans="4:5" x14ac:dyDescent="0.45">
      <c r="D11" s="2" t="s">
        <v>80</v>
      </c>
      <c r="E11" s="2">
        <f>E9-E10</f>
        <v>4</v>
      </c>
    </row>
    <row r="12" spans="4:5" x14ac:dyDescent="0.45">
      <c r="D12" s="2" t="s">
        <v>78</v>
      </c>
      <c r="E12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CBB92-3286-4DC6-9063-C98C0106F1C4}">
  <dimension ref="C3:G24"/>
  <sheetViews>
    <sheetView workbookViewId="0">
      <selection activeCell="G4" sqref="G4"/>
    </sheetView>
  </sheetViews>
  <sheetFormatPr baseColWidth="10" defaultRowHeight="14.25" x14ac:dyDescent="0.45"/>
  <cols>
    <col min="3" max="3" width="16.53125" bestFit="1" customWidth="1"/>
    <col min="5" max="5" width="13.46484375" bestFit="1" customWidth="1"/>
  </cols>
  <sheetData>
    <row r="3" spans="3:7" x14ac:dyDescent="0.45">
      <c r="C3" s="2" t="s">
        <v>23</v>
      </c>
      <c r="E3" s="2" t="s">
        <v>15</v>
      </c>
      <c r="G3" t="s">
        <v>20</v>
      </c>
    </row>
    <row r="4" spans="3:7" x14ac:dyDescent="0.45">
      <c r="C4" s="2" t="s">
        <v>24</v>
      </c>
      <c r="E4" s="2" t="s">
        <v>45</v>
      </c>
      <c r="G4" t="s">
        <v>62</v>
      </c>
    </row>
    <row r="5" spans="3:7" x14ac:dyDescent="0.45">
      <c r="C5" s="2" t="s">
        <v>25</v>
      </c>
      <c r="E5" s="2" t="s">
        <v>46</v>
      </c>
    </row>
    <row r="6" spans="3:7" x14ac:dyDescent="0.45">
      <c r="C6" s="2" t="s">
        <v>35</v>
      </c>
      <c r="E6" s="2" t="s">
        <v>47</v>
      </c>
    </row>
    <row r="7" spans="3:7" x14ac:dyDescent="0.45">
      <c r="C7" s="2" t="s">
        <v>26</v>
      </c>
      <c r="E7" s="2" t="s">
        <v>48</v>
      </c>
    </row>
    <row r="8" spans="3:7" x14ac:dyDescent="0.45">
      <c r="C8" s="2" t="s">
        <v>27</v>
      </c>
      <c r="E8" s="2" t="s">
        <v>49</v>
      </c>
    </row>
    <row r="9" spans="3:7" x14ac:dyDescent="0.45">
      <c r="C9" s="2" t="s">
        <v>28</v>
      </c>
      <c r="E9" s="2" t="s">
        <v>50</v>
      </c>
    </row>
    <row r="10" spans="3:7" x14ac:dyDescent="0.45">
      <c r="C10" s="2" t="s">
        <v>29</v>
      </c>
      <c r="E10" s="2" t="s">
        <v>51</v>
      </c>
    </row>
    <row r="11" spans="3:7" x14ac:dyDescent="0.45">
      <c r="C11" s="2" t="s">
        <v>30</v>
      </c>
      <c r="E11" s="2" t="s">
        <v>52</v>
      </c>
    </row>
    <row r="12" spans="3:7" x14ac:dyDescent="0.45">
      <c r="C12" s="2" t="s">
        <v>41</v>
      </c>
      <c r="E12" s="2" t="s">
        <v>53</v>
      </c>
    </row>
    <row r="13" spans="3:7" x14ac:dyDescent="0.45">
      <c r="C13" s="2" t="s">
        <v>42</v>
      </c>
      <c r="E13" s="2" t="s">
        <v>54</v>
      </c>
    </row>
    <row r="14" spans="3:7" x14ac:dyDescent="0.45">
      <c r="C14" s="2" t="s">
        <v>43</v>
      </c>
      <c r="E14" s="2" t="s">
        <v>55</v>
      </c>
    </row>
    <row r="15" spans="3:7" x14ac:dyDescent="0.45">
      <c r="C15" s="2" t="s">
        <v>44</v>
      </c>
      <c r="E15" s="2" t="s">
        <v>56</v>
      </c>
    </row>
    <row r="16" spans="3:7" x14ac:dyDescent="0.45">
      <c r="C16" s="2" t="s">
        <v>31</v>
      </c>
      <c r="E16" s="2" t="s">
        <v>57</v>
      </c>
    </row>
    <row r="17" spans="3:5" x14ac:dyDescent="0.45">
      <c r="C17" s="2" t="s">
        <v>32</v>
      </c>
      <c r="E17" s="2" t="s">
        <v>58</v>
      </c>
    </row>
    <row r="18" spans="3:5" x14ac:dyDescent="0.45">
      <c r="C18" s="2" t="s">
        <v>33</v>
      </c>
      <c r="E18" s="2" t="s">
        <v>59</v>
      </c>
    </row>
    <row r="19" spans="3:5" x14ac:dyDescent="0.45">
      <c r="C19" s="2" t="s">
        <v>34</v>
      </c>
      <c r="E19" s="2" t="s">
        <v>60</v>
      </c>
    </row>
    <row r="20" spans="3:5" x14ac:dyDescent="0.45">
      <c r="C20" s="2" t="s">
        <v>36</v>
      </c>
      <c r="E20" s="4"/>
    </row>
    <row r="21" spans="3:5" x14ac:dyDescent="0.45">
      <c r="C21" s="2" t="s">
        <v>37</v>
      </c>
    </row>
    <row r="22" spans="3:5" x14ac:dyDescent="0.45">
      <c r="C22" s="2" t="s">
        <v>38</v>
      </c>
    </row>
    <row r="23" spans="3:5" x14ac:dyDescent="0.45">
      <c r="C23" s="2" t="s">
        <v>39</v>
      </c>
    </row>
    <row r="24" spans="3:5" x14ac:dyDescent="0.45">
      <c r="C24" s="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1F61D0-69FB-488A-ABD9-5A5C50C67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TN19</vt:lpstr>
      <vt:lpstr>Stats</vt:lpstr>
      <vt:lpstr>Datas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LS</dc:creator>
  <cp:lastModifiedBy>Yann LS</cp:lastModifiedBy>
  <dcterms:created xsi:type="dcterms:W3CDTF">2025-08-20T20:35:37Z</dcterms:created>
  <dcterms:modified xsi:type="dcterms:W3CDTF">2025-08-23T22:31:51Z</dcterms:modified>
</cp:coreProperties>
</file>